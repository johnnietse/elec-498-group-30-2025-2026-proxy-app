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eensuca-my.sharepoint.com/personal/20zdtp_queensu_ca/Documents/"/>
    </mc:Choice>
  </mc:AlternateContent>
  <xr:revisionPtr revIDLastSave="72" documentId="8_{3D92EE83-74E2-4841-BAF7-827574137B39}" xr6:coauthVersionLast="47" xr6:coauthVersionMax="47" xr10:uidLastSave="{1CDB8F80-C05B-416D-9158-4DA0C7BA2254}"/>
  <bookViews>
    <workbookView xWindow="-108" yWindow="-108" windowWidth="30936" windowHeight="16776" xr2:uid="{D15775BD-9928-4978-BD40-1E4476E47E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O34" i="1"/>
  <c r="G5" i="1"/>
  <c r="G4" i="1"/>
  <c r="G3" i="1"/>
</calcChain>
</file>

<file path=xl/sharedStrings.xml><?xml version="1.0" encoding="utf-8"?>
<sst xmlns="http://schemas.openxmlformats.org/spreadsheetml/2006/main" count="78" uniqueCount="52">
  <si>
    <t>power saved</t>
  </si>
  <si>
    <t>ranks</t>
  </si>
  <si>
    <t>for 26</t>
  </si>
  <si>
    <t>run num</t>
  </si>
  <si>
    <t>og power</t>
  </si>
  <si>
    <t>mon power</t>
  </si>
  <si>
    <t xml:space="preserve">og time </t>
  </si>
  <si>
    <t>mon time</t>
  </si>
  <si>
    <t>avg power</t>
  </si>
  <si>
    <t>timestamp</t>
  </si>
  <si>
    <t>rank_count</t>
  </si>
  <si>
    <t>repeat</t>
  </si>
  <si>
    <t>worker_core_range</t>
  </si>
  <si>
    <t>baseline_runtime_s</t>
  </si>
  <si>
    <t>controlled_runtime_s</t>
  </si>
  <si>
    <t>runtime_pct</t>
  </si>
  <si>
    <t>baseline_energy_j</t>
  </si>
  <si>
    <t>controlled_energy_j</t>
  </si>
  <si>
    <t>energy_saved_j</t>
  </si>
  <si>
    <t>energy_saved_pct</t>
  </si>
  <si>
    <t>baseline_avg_power_w</t>
  </si>
  <si>
    <t>controlled_avg_power_w</t>
  </si>
  <si>
    <t>avg_power_delta_w</t>
  </si>
  <si>
    <t>outdir</t>
  </si>
  <si>
    <t>status</t>
  </si>
  <si>
    <t>sweep_20260309_221645/n26_rep1</t>
  </si>
  <si>
    <t>OK</t>
  </si>
  <si>
    <t>sweep_20260309_221645/n26_rep2</t>
  </si>
  <si>
    <t>sweep_20260309_221645/n26_rep3</t>
  </si>
  <si>
    <t>sweep_20260309_221645/n26_rep4</t>
  </si>
  <si>
    <t>sweep_20260309_221645/n26_rep5</t>
  </si>
  <si>
    <t>sweep_20260309_221645/n16_rep1</t>
  </si>
  <si>
    <t>sweep_20260309_221645/n16_rep2</t>
  </si>
  <si>
    <t>sweep_20260309_221645/n16_rep3</t>
  </si>
  <si>
    <t>sweep_20260309_221645/n16_rep4</t>
  </si>
  <si>
    <t>sweep_20260309_221645/n16_rep5</t>
  </si>
  <si>
    <t>sweep_20260309_221645/n8_rep1</t>
  </si>
  <si>
    <t>sweep_20260309_221645/n8_rep2</t>
  </si>
  <si>
    <t>sweep_20260309_221645/n8_rep3</t>
  </si>
  <si>
    <t>sweep_20260309_221645/n8_rep4</t>
  </si>
  <si>
    <t>sweep_20260309_221645/n8_rep5</t>
  </si>
  <si>
    <t>avg power saved</t>
  </si>
  <si>
    <t>sweep_20260310_083114/n4_rep1</t>
  </si>
  <si>
    <t>sweep_20260310_083114/n4_rep2</t>
  </si>
  <si>
    <t>sweep_20260310_083114/n4_rep3</t>
  </si>
  <si>
    <t>sweep_20260310_083114/n4_rep4</t>
  </si>
  <si>
    <t>sweep_20260310_083114/n4_rep5</t>
  </si>
  <si>
    <t>sweep_20260310_083114/n2_rep1</t>
  </si>
  <si>
    <t>sweep_20260310_083114/n2_rep2</t>
  </si>
  <si>
    <t>sweep_20260310_083114/n2_rep3</t>
  </si>
  <si>
    <t>sweep_20260310_083114/n2_rep4</t>
  </si>
  <si>
    <t>sweep_20260310_083114/n2_rep5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</si>
</sst>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2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</a:t>
            </a:r>
            <a:r>
              <a:rPr lang="en-US" baseline="0"/>
              <a:t> Savings vs MPI Ranks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power saved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Sheet1!$B$3:$B$7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26</c:v>
                </c:pt>
              </c:numCache>
            </c:numRef>
          </c:cat>
          <c:val>
            <c:numRef>
              <c:f>Sheet1!$C$3:$C$7</c:f>
              <c:numCache>
                <c:formatCode>General</c:formatCode>
                <c:ptCount val="5"/>
                <c:pt idx="0">
                  <c:v>-0.82</c:v>
                </c:pt>
                <c:pt idx="1">
                  <c:v>-0.22</c:v>
                </c:pt>
                <c:pt idx="2">
                  <c:v>0.95</c:v>
                </c:pt>
                <c:pt idx="3">
                  <c:v>5.83</c:v>
                </c:pt>
                <c:pt idx="4">
                  <c:v>17.23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01-483F-9F59-F62ACC55F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559119"/>
        <c:axId val="1089549519"/>
      </c:barChart>
      <c:catAx>
        <c:axId val="1089559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MPI</a:t>
                </a:r>
                <a:r>
                  <a:rPr lang="en-CA" baseline="0"/>
                  <a:t> Ranks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49519"/>
        <c:crosses val="autoZero"/>
        <c:auto val="1"/>
        <c:lblAlgn val="ctr"/>
        <c:lblOffset val="100"/>
        <c:noMultiLvlLbl val="0"/>
      </c:catAx>
      <c:valAx>
        <c:axId val="108954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% of Energy Saved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5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0" baseline="0"/>
              <a:t>Energy Savings vs MPI Ranks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power saved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Sheet1!$B$3:$B$7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26</c:v>
                </c:pt>
              </c:numCache>
            </c:numRef>
          </c:cat>
          <c:val>
            <c:numRef>
              <c:f>Sheet1!$C$3:$C$7</c:f>
              <c:numCache>
                <c:formatCode>General</c:formatCode>
                <c:ptCount val="5"/>
                <c:pt idx="0">
                  <c:v>-0.82</c:v>
                </c:pt>
                <c:pt idx="1">
                  <c:v>-0.22</c:v>
                </c:pt>
                <c:pt idx="2">
                  <c:v>0.95</c:v>
                </c:pt>
                <c:pt idx="3">
                  <c:v>5.83</c:v>
                </c:pt>
                <c:pt idx="4">
                  <c:v>17.23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0A-4B32-9D29-91FBA8BDA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559119"/>
        <c:axId val="1089549519"/>
      </c:barChart>
      <c:catAx>
        <c:axId val="1089559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8000" baseline="0"/>
                  <a:t>MPI Ranks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49519"/>
        <c:crosses val="autoZero"/>
        <c:auto val="1"/>
        <c:lblAlgn val="ctr"/>
        <c:lblOffset val="100"/>
        <c:noMultiLvlLbl val="0"/>
      </c:catAx>
      <c:valAx>
        <c:axId val="108954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8000" baseline="0"/>
                  <a:t>% of Energy Saved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5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10</xdr:row>
      <xdr:rowOff>152400</xdr:rowOff>
    </xdr:from>
    <xdr:to>
      <xdr:col>10</xdr:col>
      <xdr:colOff>670560</xdr:colOff>
      <xdr:row>28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7C92BF-B3D6-E1DD-F8E8-F40A32BF1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121920</xdr:colOff>
      <xdr:row>69</xdr:row>
      <xdr:rowOff>94904</xdr:rowOff>
    </xdr:from>
    <xdr:to>
      <xdr:col>43</xdr:col>
      <xdr:colOff>266700</xdr:colOff>
      <xdr:row>163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71AFB6-4289-45D2-9355-E1B5776382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934BE-4BD8-4C36-B4B6-F91F676EBC67}">
  <dimension ref="B2:S58"/>
  <sheetViews>
    <sheetView tabSelected="1" zoomScaleNormal="100" workbookViewId="0">
      <selection activeCell="N18" sqref="N18"/>
    </sheetView>
  </sheetViews>
  <sheetFormatPr defaultRowHeight="14.4" x14ac:dyDescent="0.3"/>
  <cols>
    <col min="2" max="3" width="11" bestFit="1" customWidth="1"/>
    <col min="5" max="5" width="16.44140625" bestFit="1" customWidth="1"/>
    <col min="6" max="6" width="16.5546875" bestFit="1" customWidth="1"/>
    <col min="7" max="7" width="18" bestFit="1" customWidth="1"/>
    <col min="8" max="8" width="10.5546875" bestFit="1" customWidth="1"/>
    <col min="9" max="9" width="15.21875" bestFit="1" customWidth="1"/>
    <col min="10" max="10" width="16.5546875" bestFit="1" customWidth="1"/>
    <col min="11" max="11" width="13.109375" bestFit="1" customWidth="1"/>
    <col min="12" max="12" width="15.21875" bestFit="1" customWidth="1"/>
    <col min="13" max="13" width="19.33203125" bestFit="1" customWidth="1"/>
    <col min="14" max="14" width="20.6640625" bestFit="1" customWidth="1"/>
    <col min="15" max="15" width="16.44140625" bestFit="1" customWidth="1"/>
    <col min="16" max="16" width="30.44140625" bestFit="1" customWidth="1"/>
  </cols>
  <sheetData>
    <row r="2" spans="2:19" x14ac:dyDescent="0.3">
      <c r="B2" t="s">
        <v>1</v>
      </c>
      <c r="C2" t="s">
        <v>0</v>
      </c>
      <c r="F2" t="s">
        <v>1</v>
      </c>
      <c r="G2" t="s">
        <v>41</v>
      </c>
      <c r="L2" t="s">
        <v>2</v>
      </c>
      <c r="M2" t="s">
        <v>3</v>
      </c>
      <c r="N2" t="s">
        <v>0</v>
      </c>
      <c r="O2" t="s">
        <v>4</v>
      </c>
      <c r="P2" t="s">
        <v>5</v>
      </c>
      <c r="Q2" t="s">
        <v>6</v>
      </c>
      <c r="R2" t="s">
        <v>7</v>
      </c>
      <c r="S2" t="s">
        <v>8</v>
      </c>
    </row>
    <row r="3" spans="2:19" x14ac:dyDescent="0.3">
      <c r="B3">
        <v>2</v>
      </c>
      <c r="C3">
        <v>-0.82</v>
      </c>
      <c r="F3">
        <v>26</v>
      </c>
      <c r="G3">
        <f>SUM(L34:L38) / 5</f>
        <v>17.298380000000002</v>
      </c>
      <c r="M3">
        <v>1</v>
      </c>
      <c r="N3">
        <v>5.55</v>
      </c>
    </row>
    <row r="4" spans="2:19" x14ac:dyDescent="0.3">
      <c r="B4">
        <v>4</v>
      </c>
      <c r="C4" s="1">
        <v>-0.22</v>
      </c>
      <c r="F4">
        <v>16</v>
      </c>
      <c r="G4">
        <f>SUM(L39:L43) / 5</f>
        <v>5.8316800000000004</v>
      </c>
      <c r="M4">
        <v>2</v>
      </c>
    </row>
    <row r="5" spans="2:19" x14ac:dyDescent="0.3">
      <c r="B5">
        <v>8</v>
      </c>
      <c r="C5">
        <v>0.95</v>
      </c>
      <c r="F5">
        <v>8</v>
      </c>
      <c r="G5">
        <f>SUM(L44:L48) / 5</f>
        <v>0.95062000000000002</v>
      </c>
    </row>
    <row r="6" spans="2:19" x14ac:dyDescent="0.3">
      <c r="B6">
        <v>16</v>
      </c>
      <c r="C6">
        <v>5.83</v>
      </c>
      <c r="F6">
        <v>4</v>
      </c>
      <c r="G6">
        <f>SUM(L49:L53)/ 5</f>
        <v>-0.99451999999999996</v>
      </c>
    </row>
    <row r="7" spans="2:19" x14ac:dyDescent="0.3">
      <c r="B7">
        <v>26</v>
      </c>
      <c r="C7">
        <v>17.23</v>
      </c>
      <c r="F7">
        <v>2</v>
      </c>
      <c r="G7">
        <f xml:space="preserve"> SUM(L54:L58) / 5</f>
        <v>-1.0704199999999999</v>
      </c>
    </row>
    <row r="33" spans="2:17" x14ac:dyDescent="0.3">
      <c r="B33" t="s">
        <v>9</v>
      </c>
      <c r="C33" t="s">
        <v>10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  <c r="I33" t="s">
        <v>16</v>
      </c>
      <c r="J33" t="s">
        <v>17</v>
      </c>
      <c r="K33" t="s">
        <v>18</v>
      </c>
      <c r="L33" t="s">
        <v>19</v>
      </c>
      <c r="M33" t="s">
        <v>20</v>
      </c>
      <c r="N33" t="s">
        <v>21</v>
      </c>
      <c r="O33" t="s">
        <v>22</v>
      </c>
      <c r="P33" t="s">
        <v>23</v>
      </c>
      <c r="Q33" t="s">
        <v>24</v>
      </c>
    </row>
    <row r="34" spans="2:17" x14ac:dyDescent="0.3">
      <c r="B34" s="2">
        <v>46090.928298611114</v>
      </c>
      <c r="C34">
        <v>26</v>
      </c>
      <c r="D34">
        <v>1</v>
      </c>
      <c r="E34" s="3">
        <v>46141</v>
      </c>
      <c r="F34">
        <v>1106.683869</v>
      </c>
      <c r="G34">
        <v>1158.5103469999999</v>
      </c>
      <c r="H34">
        <v>4.68</v>
      </c>
      <c r="I34">
        <v>138790.96727600001</v>
      </c>
      <c r="J34">
        <v>116114.95625800001</v>
      </c>
      <c r="K34">
        <v>22676.011018000001</v>
      </c>
      <c r="L34">
        <v>16.329999999999998</v>
      </c>
      <c r="M34">
        <v>125.411575</v>
      </c>
      <c r="N34">
        <v>100.227811</v>
      </c>
      <c r="O34">
        <f>M34-N34</f>
        <v>25.183763999999996</v>
      </c>
      <c r="P34" t="s">
        <v>25</v>
      </c>
      <c r="Q34" t="s">
        <v>26</v>
      </c>
    </row>
    <row r="35" spans="2:17" x14ac:dyDescent="0.3">
      <c r="B35" s="2">
        <v>46090.954791666663</v>
      </c>
      <c r="C35">
        <v>26</v>
      </c>
      <c r="D35">
        <v>2</v>
      </c>
      <c r="E35" s="3">
        <v>46141</v>
      </c>
      <c r="F35">
        <v>1156.0434230000001</v>
      </c>
      <c r="G35">
        <v>1166.861142</v>
      </c>
      <c r="H35">
        <v>0.93569999999999998</v>
      </c>
      <c r="I35">
        <v>144816.59388</v>
      </c>
      <c r="J35">
        <v>116864.996419</v>
      </c>
      <c r="K35">
        <v>27951.597461000001</v>
      </c>
      <c r="L35">
        <v>19.301300000000001</v>
      </c>
      <c r="M35">
        <v>125.269164</v>
      </c>
      <c r="N35">
        <v>100.153302</v>
      </c>
      <c r="O35">
        <v>25.115862</v>
      </c>
      <c r="P35" t="s">
        <v>27</v>
      </c>
      <c r="Q35" t="s">
        <v>26</v>
      </c>
    </row>
    <row r="36" spans="2:17" x14ac:dyDescent="0.3">
      <c r="B36" s="2">
        <v>46090.98170138889</v>
      </c>
      <c r="C36">
        <v>26</v>
      </c>
      <c r="D36">
        <v>3</v>
      </c>
      <c r="E36" s="3">
        <v>46141</v>
      </c>
      <c r="F36">
        <v>1132.3018870000001</v>
      </c>
      <c r="G36">
        <v>1183.4278240000001</v>
      </c>
      <c r="H36">
        <v>4.5152000000000001</v>
      </c>
      <c r="I36">
        <v>141627.17688000001</v>
      </c>
      <c r="J36">
        <v>118286.406523</v>
      </c>
      <c r="K36">
        <v>23340.770357000001</v>
      </c>
      <c r="L36">
        <v>16.480399999999999</v>
      </c>
      <c r="M36">
        <v>125.07899</v>
      </c>
      <c r="N36">
        <v>99.952361999999994</v>
      </c>
      <c r="O36">
        <v>25.126628</v>
      </c>
      <c r="P36" t="s">
        <v>28</v>
      </c>
      <c r="Q36" t="s">
        <v>26</v>
      </c>
    </row>
    <row r="37" spans="2:17" x14ac:dyDescent="0.3">
      <c r="B37" s="2">
        <v>46091.008530092593</v>
      </c>
      <c r="C37">
        <v>26</v>
      </c>
      <c r="D37">
        <v>4</v>
      </c>
      <c r="E37" s="3">
        <v>46141</v>
      </c>
      <c r="F37">
        <v>1145.321375</v>
      </c>
      <c r="G37">
        <v>1179.9842430000001</v>
      </c>
      <c r="H37">
        <v>3.0264000000000002</v>
      </c>
      <c r="I37">
        <v>143453.20965999999</v>
      </c>
      <c r="J37">
        <v>118114.70081900001</v>
      </c>
      <c r="K37">
        <v>25338.508840999999</v>
      </c>
      <c r="L37">
        <v>17.6632</v>
      </c>
      <c r="M37">
        <v>125.25149</v>
      </c>
      <c r="N37">
        <v>100.09854</v>
      </c>
      <c r="O37">
        <v>25.152950000000001</v>
      </c>
      <c r="P37" t="s">
        <v>29</v>
      </c>
      <c r="Q37" t="s">
        <v>26</v>
      </c>
    </row>
    <row r="38" spans="2:17" x14ac:dyDescent="0.3">
      <c r="B38" s="2">
        <v>46091.035474537035</v>
      </c>
      <c r="C38">
        <v>26</v>
      </c>
      <c r="D38">
        <v>5</v>
      </c>
      <c r="E38" s="3">
        <v>46141</v>
      </c>
      <c r="F38">
        <v>1137.355859</v>
      </c>
      <c r="G38">
        <v>1182.9578770000001</v>
      </c>
      <c r="H38">
        <v>4.0094000000000003</v>
      </c>
      <c r="I38">
        <v>142267.127748</v>
      </c>
      <c r="J38">
        <v>118484.240882</v>
      </c>
      <c r="K38">
        <v>23782.886866000001</v>
      </c>
      <c r="L38">
        <v>16.716999999999999</v>
      </c>
      <c r="M38">
        <v>125.085852</v>
      </c>
      <c r="N38">
        <v>100.159306</v>
      </c>
      <c r="O38">
        <v>24.926545999999998</v>
      </c>
      <c r="P38" t="s">
        <v>30</v>
      </c>
      <c r="Q38" t="s">
        <v>26</v>
      </c>
    </row>
    <row r="39" spans="2:17" x14ac:dyDescent="0.3">
      <c r="B39" s="2">
        <v>46091.062361111108</v>
      </c>
      <c r="C39">
        <v>16</v>
      </c>
      <c r="D39">
        <v>1</v>
      </c>
      <c r="E39" s="3">
        <v>46131</v>
      </c>
      <c r="F39">
        <v>469.19755500000002</v>
      </c>
      <c r="G39">
        <v>472.65561100000002</v>
      </c>
      <c r="H39">
        <v>0.73699999999999999</v>
      </c>
      <c r="I39">
        <v>47842.005053000001</v>
      </c>
      <c r="J39">
        <v>44992.400100999999</v>
      </c>
      <c r="K39">
        <v>2849.6049520000001</v>
      </c>
      <c r="L39">
        <v>5.9561999999999999</v>
      </c>
      <c r="M39">
        <v>101.96558899999999</v>
      </c>
      <c r="N39">
        <v>95.190661000000006</v>
      </c>
      <c r="O39">
        <v>6.7749280000000001</v>
      </c>
      <c r="P39" t="s">
        <v>31</v>
      </c>
      <c r="Q39" t="s">
        <v>26</v>
      </c>
    </row>
    <row r="40" spans="2:17" x14ac:dyDescent="0.3">
      <c r="B40" s="2">
        <v>46091.073287037034</v>
      </c>
      <c r="C40">
        <v>16</v>
      </c>
      <c r="D40">
        <v>2</v>
      </c>
      <c r="E40" s="3">
        <v>46131</v>
      </c>
      <c r="F40">
        <v>462.872074</v>
      </c>
      <c r="G40">
        <v>472.66105499999998</v>
      </c>
      <c r="H40">
        <v>2.1147999999999998</v>
      </c>
      <c r="I40">
        <v>47110.498357999997</v>
      </c>
      <c r="J40">
        <v>44926.370693999997</v>
      </c>
      <c r="K40">
        <v>2184.1276640000001</v>
      </c>
      <c r="L40">
        <v>4.6360999999999999</v>
      </c>
      <c r="M40">
        <v>101.778657</v>
      </c>
      <c r="N40">
        <v>95.049867000000006</v>
      </c>
      <c r="O40">
        <v>6.72879</v>
      </c>
      <c r="P40" t="s">
        <v>32</v>
      </c>
      <c r="Q40" t="s">
        <v>26</v>
      </c>
    </row>
    <row r="41" spans="2:17" x14ac:dyDescent="0.3">
      <c r="B41" s="2">
        <v>46091.084143518521</v>
      </c>
      <c r="C41">
        <v>16</v>
      </c>
      <c r="D41">
        <v>3</v>
      </c>
      <c r="E41" s="3">
        <v>46131</v>
      </c>
      <c r="F41">
        <v>465.80055099999998</v>
      </c>
      <c r="G41">
        <v>468.45741900000002</v>
      </c>
      <c r="H41">
        <v>0.57030000000000003</v>
      </c>
      <c r="I41">
        <v>47256.522131999998</v>
      </c>
      <c r="J41">
        <v>44388.637347999997</v>
      </c>
      <c r="K41">
        <v>2867.8847839999999</v>
      </c>
      <c r="L41">
        <v>6.0686999999999998</v>
      </c>
      <c r="M41">
        <v>101.45226700000001</v>
      </c>
      <c r="N41">
        <v>94.754902999999999</v>
      </c>
      <c r="O41">
        <v>6.6973640000000003</v>
      </c>
      <c r="P41" t="s">
        <v>33</v>
      </c>
      <c r="Q41" t="s">
        <v>26</v>
      </c>
    </row>
    <row r="42" spans="2:17" x14ac:dyDescent="0.3">
      <c r="B42" s="2">
        <v>46091.094988425924</v>
      </c>
      <c r="C42">
        <v>16</v>
      </c>
      <c r="D42">
        <v>4</v>
      </c>
      <c r="E42" s="3">
        <v>46131</v>
      </c>
      <c r="F42">
        <v>474.88000099999999</v>
      </c>
      <c r="G42">
        <v>472.89472999999998</v>
      </c>
      <c r="H42">
        <v>-0.41799999999999998</v>
      </c>
      <c r="I42">
        <v>48500.531560000003</v>
      </c>
      <c r="J42">
        <v>44930.575538999998</v>
      </c>
      <c r="K42">
        <v>3569.956021</v>
      </c>
      <c r="L42">
        <v>7.3605999999999998</v>
      </c>
      <c r="M42">
        <v>102.132183</v>
      </c>
      <c r="N42">
        <v>95.011791000000002</v>
      </c>
      <c r="O42">
        <v>7.1203919999999998</v>
      </c>
      <c r="P42" t="s">
        <v>34</v>
      </c>
      <c r="Q42" t="s">
        <v>26</v>
      </c>
    </row>
    <row r="43" spans="2:17" x14ac:dyDescent="0.3">
      <c r="B43" s="2">
        <v>46091.105983796297</v>
      </c>
      <c r="C43">
        <v>16</v>
      </c>
      <c r="D43">
        <v>5</v>
      </c>
      <c r="E43" s="3">
        <v>46131</v>
      </c>
      <c r="F43">
        <v>465.90561400000001</v>
      </c>
      <c r="G43">
        <v>472.692026</v>
      </c>
      <c r="H43">
        <v>1.4565999999999999</v>
      </c>
      <c r="I43">
        <v>47322.904152000003</v>
      </c>
      <c r="J43">
        <v>44891.984256999996</v>
      </c>
      <c r="K43">
        <v>2430.919895</v>
      </c>
      <c r="L43">
        <v>5.1368</v>
      </c>
      <c r="M43">
        <v>101.57186900000001</v>
      </c>
      <c r="N43">
        <v>94.970893000000004</v>
      </c>
      <c r="O43">
        <v>6.6009760000000002</v>
      </c>
      <c r="P43" t="s">
        <v>35</v>
      </c>
      <c r="Q43" t="s">
        <v>26</v>
      </c>
    </row>
    <row r="44" spans="2:17" x14ac:dyDescent="0.3">
      <c r="B44" s="2">
        <v>46091.116875</v>
      </c>
      <c r="C44">
        <v>8</v>
      </c>
      <c r="D44">
        <v>1</v>
      </c>
      <c r="E44" s="3">
        <v>46123</v>
      </c>
      <c r="F44">
        <v>649.68812100000002</v>
      </c>
      <c r="G44">
        <v>661.331637</v>
      </c>
      <c r="H44">
        <v>1.7921</v>
      </c>
      <c r="I44">
        <v>55750.027671999997</v>
      </c>
      <c r="J44">
        <v>55115.795289000002</v>
      </c>
      <c r="K44">
        <v>634.23238300000003</v>
      </c>
      <c r="L44">
        <v>1.1375999999999999</v>
      </c>
      <c r="M44">
        <v>85.810445999999999</v>
      </c>
      <c r="N44">
        <v>83.340630000000004</v>
      </c>
      <c r="O44">
        <v>2.4698159999999998</v>
      </c>
      <c r="P44" t="s">
        <v>36</v>
      </c>
      <c r="Q44" t="s">
        <v>26</v>
      </c>
    </row>
    <row r="45" spans="2:17" x14ac:dyDescent="0.3">
      <c r="B45" s="2">
        <v>46091.132071759261</v>
      </c>
      <c r="C45">
        <v>8</v>
      </c>
      <c r="D45">
        <v>2</v>
      </c>
      <c r="E45" s="3">
        <v>46123</v>
      </c>
      <c r="F45">
        <v>644.52216599999997</v>
      </c>
      <c r="G45">
        <v>661.22339999999997</v>
      </c>
      <c r="H45">
        <v>2.5912000000000002</v>
      </c>
      <c r="I45">
        <v>55056.280619999998</v>
      </c>
      <c r="J45">
        <v>55045.814410999999</v>
      </c>
      <c r="K45">
        <v>10.466208999999999</v>
      </c>
      <c r="L45">
        <v>1.9E-2</v>
      </c>
      <c r="M45">
        <v>85.421857000000003</v>
      </c>
      <c r="N45">
        <v>83.248435999999998</v>
      </c>
      <c r="O45">
        <v>2.1734209999999998</v>
      </c>
      <c r="P45" t="s">
        <v>37</v>
      </c>
      <c r="Q45" t="s">
        <v>26</v>
      </c>
    </row>
    <row r="46" spans="2:17" x14ac:dyDescent="0.3">
      <c r="B46" s="2">
        <v>46091.147222222222</v>
      </c>
      <c r="C46">
        <v>8</v>
      </c>
      <c r="D46">
        <v>3</v>
      </c>
      <c r="E46" s="3">
        <v>46123</v>
      </c>
      <c r="F46">
        <v>640.14122399999997</v>
      </c>
      <c r="G46">
        <v>661.91083600000002</v>
      </c>
      <c r="H46">
        <v>3.4007000000000001</v>
      </c>
      <c r="I46">
        <v>54728.011952000001</v>
      </c>
      <c r="J46">
        <v>55056.409275999998</v>
      </c>
      <c r="K46">
        <v>-328.39732400000003</v>
      </c>
      <c r="L46">
        <v>-0.6</v>
      </c>
      <c r="M46">
        <v>85.493652999999995</v>
      </c>
      <c r="N46">
        <v>83.177983999999995</v>
      </c>
      <c r="O46">
        <v>2.3156690000000002</v>
      </c>
      <c r="P46" t="s">
        <v>38</v>
      </c>
      <c r="Q46" t="s">
        <v>26</v>
      </c>
    </row>
    <row r="47" spans="2:17" x14ac:dyDescent="0.3">
      <c r="B47" s="2">
        <v>46091.162314814814</v>
      </c>
      <c r="C47">
        <v>8</v>
      </c>
      <c r="D47">
        <v>4</v>
      </c>
      <c r="E47" s="3">
        <v>46123</v>
      </c>
      <c r="F47">
        <v>651.87689</v>
      </c>
      <c r="G47">
        <v>651.63179100000002</v>
      </c>
      <c r="H47">
        <v>-3.7499999999999999E-2</v>
      </c>
      <c r="I47">
        <v>55637.918266000001</v>
      </c>
      <c r="J47">
        <v>54320.123653000002</v>
      </c>
      <c r="K47">
        <v>1317.794613</v>
      </c>
      <c r="L47">
        <v>2.3685</v>
      </c>
      <c r="M47">
        <v>85.350346000000002</v>
      </c>
      <c r="N47">
        <v>83.360149000000007</v>
      </c>
      <c r="O47">
        <v>1.990197</v>
      </c>
      <c r="P47" t="s">
        <v>39</v>
      </c>
      <c r="Q47" t="s">
        <v>26</v>
      </c>
    </row>
    <row r="48" spans="2:17" x14ac:dyDescent="0.3">
      <c r="B48" s="2">
        <v>46091.177430555559</v>
      </c>
      <c r="C48">
        <v>8</v>
      </c>
      <c r="D48">
        <v>5</v>
      </c>
      <c r="E48" s="3">
        <v>46123</v>
      </c>
      <c r="F48">
        <v>649.63256799999999</v>
      </c>
      <c r="G48">
        <v>653.19158500000003</v>
      </c>
      <c r="H48">
        <v>0.54779999999999995</v>
      </c>
      <c r="I48">
        <v>55405.011426999998</v>
      </c>
      <c r="J48">
        <v>54392.163201000003</v>
      </c>
      <c r="K48">
        <v>1012.848226</v>
      </c>
      <c r="L48">
        <v>1.8280000000000001</v>
      </c>
      <c r="M48">
        <v>85.286688999999996</v>
      </c>
      <c r="N48">
        <v>83.271377000000001</v>
      </c>
      <c r="O48">
        <v>2.0153120000000002</v>
      </c>
      <c r="P48" t="s">
        <v>40</v>
      </c>
      <c r="Q48" t="s">
        <v>26</v>
      </c>
    </row>
    <row r="49" spans="2:17" x14ac:dyDescent="0.3">
      <c r="B49" s="2">
        <v>46091.354861111111</v>
      </c>
      <c r="C49">
        <v>4</v>
      </c>
      <c r="D49">
        <v>1</v>
      </c>
      <c r="E49" s="3">
        <v>46119</v>
      </c>
      <c r="F49">
        <v>1014.949306</v>
      </c>
      <c r="G49">
        <v>1032.650807</v>
      </c>
      <c r="H49">
        <v>1.744</v>
      </c>
      <c r="I49">
        <v>76999.301210000005</v>
      </c>
      <c r="J49">
        <v>78016.490560000006</v>
      </c>
      <c r="K49">
        <v>-1017.189354</v>
      </c>
      <c r="L49">
        <v>-1.321</v>
      </c>
      <c r="M49">
        <v>75.865168999999995</v>
      </c>
      <c r="N49">
        <v>75.549729999999997</v>
      </c>
      <c r="O49">
        <v>0.31543900000000002</v>
      </c>
      <c r="P49" t="s">
        <v>42</v>
      </c>
      <c r="Q49" t="s">
        <v>26</v>
      </c>
    </row>
    <row r="50" spans="2:17" x14ac:dyDescent="0.3">
      <c r="B50" s="2">
        <v>46091.378472222219</v>
      </c>
      <c r="C50">
        <v>4</v>
      </c>
      <c r="D50">
        <v>2</v>
      </c>
      <c r="E50" s="3">
        <v>46119</v>
      </c>
      <c r="F50">
        <v>1006.053373</v>
      </c>
      <c r="G50">
        <v>1014.0869290000001</v>
      </c>
      <c r="H50">
        <v>0.79849999999999999</v>
      </c>
      <c r="I50">
        <v>76576.670660000003</v>
      </c>
      <c r="J50">
        <v>76818.353400000007</v>
      </c>
      <c r="K50">
        <v>-241.682737</v>
      </c>
      <c r="L50">
        <v>-0.31559999999999999</v>
      </c>
      <c r="M50">
        <v>76.115911999999994</v>
      </c>
      <c r="N50">
        <v>75.751249999999999</v>
      </c>
      <c r="O50">
        <v>0.36466199999999999</v>
      </c>
      <c r="P50" t="s">
        <v>43</v>
      </c>
      <c r="Q50" t="s">
        <v>26</v>
      </c>
    </row>
    <row r="51" spans="2:17" x14ac:dyDescent="0.3">
      <c r="B51" s="2">
        <v>46091.402083333334</v>
      </c>
      <c r="C51">
        <v>4</v>
      </c>
      <c r="D51">
        <v>3</v>
      </c>
      <c r="E51" s="3">
        <v>46119</v>
      </c>
      <c r="F51">
        <v>1011.823956</v>
      </c>
      <c r="G51">
        <v>1026.069481</v>
      </c>
      <c r="H51">
        <v>1.4078999999999999</v>
      </c>
      <c r="I51">
        <v>77013.070319999999</v>
      </c>
      <c r="J51">
        <v>77589.14327</v>
      </c>
      <c r="K51">
        <v>-576.072947</v>
      </c>
      <c r="L51">
        <v>-0.748</v>
      </c>
      <c r="M51">
        <v>76.113112000000001</v>
      </c>
      <c r="N51">
        <v>75.617824999999996</v>
      </c>
      <c r="O51">
        <v>0.49528699999999998</v>
      </c>
      <c r="P51" t="s">
        <v>44</v>
      </c>
      <c r="Q51" t="s">
        <v>26</v>
      </c>
    </row>
    <row r="52" spans="2:17" x14ac:dyDescent="0.3">
      <c r="B52" s="2">
        <v>46091.425694444442</v>
      </c>
      <c r="C52">
        <v>4</v>
      </c>
      <c r="D52">
        <v>4</v>
      </c>
      <c r="E52" s="3">
        <v>46119</v>
      </c>
      <c r="F52">
        <v>1007.6437100000001</v>
      </c>
      <c r="G52">
        <v>1015.715797</v>
      </c>
      <c r="H52">
        <v>0.80100000000000005</v>
      </c>
      <c r="I52">
        <v>76723.116179999997</v>
      </c>
      <c r="J52">
        <v>76833.212369999994</v>
      </c>
      <c r="K52">
        <v>-110.096189</v>
      </c>
      <c r="L52">
        <v>-0.1434</v>
      </c>
      <c r="M52">
        <v>76.141114999999999</v>
      </c>
      <c r="N52">
        <v>75.644400000000005</v>
      </c>
      <c r="O52">
        <v>0.49671500000000002</v>
      </c>
      <c r="P52" t="s">
        <v>45</v>
      </c>
      <c r="Q52" t="s">
        <v>26</v>
      </c>
    </row>
    <row r="53" spans="2:17" x14ac:dyDescent="0.3">
      <c r="B53" s="2">
        <v>46091.448611111111</v>
      </c>
      <c r="C53">
        <v>4</v>
      </c>
      <c r="D53">
        <v>5</v>
      </c>
      <c r="E53" s="3">
        <v>46119</v>
      </c>
      <c r="F53">
        <v>1008.709323</v>
      </c>
      <c r="G53">
        <v>1041.184647</v>
      </c>
      <c r="H53">
        <v>3.2193999999999998</v>
      </c>
      <c r="I53">
        <v>76804.450939999995</v>
      </c>
      <c r="J53">
        <v>78682.042690000002</v>
      </c>
      <c r="K53">
        <v>-1877.5917589999999</v>
      </c>
      <c r="L53">
        <v>-2.4445999999999999</v>
      </c>
      <c r="M53">
        <v>76.141311000000002</v>
      </c>
      <c r="N53">
        <v>75.569730000000007</v>
      </c>
      <c r="O53">
        <v>0.57158100000000001</v>
      </c>
      <c r="P53" t="s">
        <v>46</v>
      </c>
      <c r="Q53" t="s">
        <v>26</v>
      </c>
    </row>
    <row r="54" spans="2:17" x14ac:dyDescent="0.3">
      <c r="B54" s="2">
        <v>46091.472916666666</v>
      </c>
      <c r="C54">
        <v>2</v>
      </c>
      <c r="D54">
        <v>1</v>
      </c>
      <c r="E54" s="3">
        <v>46117</v>
      </c>
      <c r="F54">
        <v>1592.10833</v>
      </c>
      <c r="G54">
        <v>1579.7199410000001</v>
      </c>
      <c r="H54">
        <v>-0.77810000000000001</v>
      </c>
      <c r="I54">
        <v>115558.5013</v>
      </c>
      <c r="J54">
        <v>114144.2717</v>
      </c>
      <c r="K54">
        <v>1414.2295979999999</v>
      </c>
      <c r="L54">
        <v>1.2238</v>
      </c>
      <c r="M54">
        <v>72.582059000000001</v>
      </c>
      <c r="N54">
        <v>72.256017</v>
      </c>
      <c r="O54">
        <v>0.326042</v>
      </c>
      <c r="P54" t="s">
        <v>47</v>
      </c>
      <c r="Q54" t="s">
        <v>26</v>
      </c>
    </row>
    <row r="55" spans="2:17" x14ac:dyDescent="0.3">
      <c r="B55" s="2">
        <v>46091.509027777778</v>
      </c>
      <c r="C55">
        <v>2</v>
      </c>
      <c r="D55">
        <v>2</v>
      </c>
      <c r="E55" s="3">
        <v>46117</v>
      </c>
      <c r="F55">
        <v>1560.4687309999999</v>
      </c>
      <c r="G55">
        <v>1591.7053350000001</v>
      </c>
      <c r="H55">
        <v>2.0017</v>
      </c>
      <c r="I55">
        <v>113123.9727</v>
      </c>
      <c r="J55">
        <v>114675.6672</v>
      </c>
      <c r="K55">
        <v>-1551.694581</v>
      </c>
      <c r="L55">
        <v>-1.3715999999999999</v>
      </c>
      <c r="M55">
        <v>72.493584999999996</v>
      </c>
      <c r="N55">
        <v>72.045788999999999</v>
      </c>
      <c r="O55">
        <v>0.44779600000000003</v>
      </c>
      <c r="P55" t="s">
        <v>48</v>
      </c>
      <c r="Q55" t="s">
        <v>26</v>
      </c>
    </row>
    <row r="56" spans="2:17" x14ac:dyDescent="0.3">
      <c r="B56" s="2">
        <v>46091.54583333333</v>
      </c>
      <c r="C56">
        <v>2</v>
      </c>
      <c r="D56">
        <v>3</v>
      </c>
      <c r="E56" s="3">
        <v>46117</v>
      </c>
      <c r="F56">
        <v>1559.6329390000001</v>
      </c>
      <c r="G56">
        <v>1600.645403</v>
      </c>
      <c r="H56">
        <v>2.6295999999999999</v>
      </c>
      <c r="I56">
        <v>112869.4716</v>
      </c>
      <c r="J56">
        <v>115701.9811</v>
      </c>
      <c r="K56">
        <v>-2832.509493</v>
      </c>
      <c r="L56">
        <v>-2.5095000000000001</v>
      </c>
      <c r="M56">
        <v>72.369253</v>
      </c>
      <c r="N56">
        <v>72.284580000000005</v>
      </c>
      <c r="O56">
        <v>8.4672999999999998E-2</v>
      </c>
      <c r="P56" t="s">
        <v>49</v>
      </c>
      <c r="Q56" t="s">
        <v>26</v>
      </c>
    </row>
    <row r="57" spans="2:17" x14ac:dyDescent="0.3">
      <c r="B57" s="2">
        <v>46091.582638888889</v>
      </c>
      <c r="C57">
        <v>2</v>
      </c>
      <c r="D57">
        <v>4</v>
      </c>
      <c r="E57" s="3">
        <v>46117</v>
      </c>
      <c r="F57">
        <v>1548.630263</v>
      </c>
      <c r="G57">
        <v>1583.0794410000001</v>
      </c>
      <c r="H57">
        <v>2.2244000000000002</v>
      </c>
      <c r="I57">
        <v>112322.2147</v>
      </c>
      <c r="J57">
        <v>114099.5572</v>
      </c>
      <c r="K57">
        <v>-1777.342549</v>
      </c>
      <c r="L57">
        <v>-1.5823</v>
      </c>
      <c r="M57">
        <v>72.530039000000002</v>
      </c>
      <c r="N57">
        <v>72.074434999999994</v>
      </c>
      <c r="O57">
        <v>0.45560400000000001</v>
      </c>
      <c r="P57" t="s">
        <v>50</v>
      </c>
      <c r="Q57" t="s">
        <v>26</v>
      </c>
    </row>
    <row r="58" spans="2:17" x14ac:dyDescent="0.3">
      <c r="B58" s="2">
        <v>46091.618750000001</v>
      </c>
      <c r="C58">
        <v>2</v>
      </c>
      <c r="D58">
        <v>5</v>
      </c>
      <c r="E58" s="3">
        <v>46117</v>
      </c>
      <c r="F58">
        <v>1566.4046679999999</v>
      </c>
      <c r="G58">
        <v>1590.965434</v>
      </c>
      <c r="H58">
        <v>1.5679000000000001</v>
      </c>
      <c r="I58">
        <v>113801.6888</v>
      </c>
      <c r="J58">
        <v>115067.7882</v>
      </c>
      <c r="K58">
        <v>-1266.099365</v>
      </c>
      <c r="L58">
        <v>-1.1125</v>
      </c>
      <c r="M58">
        <v>72.651525000000007</v>
      </c>
      <c r="N58">
        <v>72.325761999999997</v>
      </c>
      <c r="O58">
        <v>0.32576300000000002</v>
      </c>
      <c r="P58" t="s">
        <v>51</v>
      </c>
      <c r="Q58" t="s">
        <v>26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97c72bb-9465-480a-8249-83b74d8cc0b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F2896C5AB86043AAB4169CE3E56178" ma:contentTypeVersion="17" ma:contentTypeDescription="Create a new document." ma:contentTypeScope="" ma:versionID="f99300be5be9cbc2b8c8652316a0eb26">
  <xsd:schema xmlns:xsd="http://www.w3.org/2001/XMLSchema" xmlns:xs="http://www.w3.org/2001/XMLSchema" xmlns:p="http://schemas.microsoft.com/office/2006/metadata/properties" xmlns:ns3="397c72bb-9465-480a-8249-83b74d8cc0bc" xmlns:ns4="ddac656d-8866-477c-ae40-dace4ddc01ed" targetNamespace="http://schemas.microsoft.com/office/2006/metadata/properties" ma:root="true" ma:fieldsID="8f386dae9ac2dc45814b5f0828fa1447" ns3:_="" ns4:_="">
    <xsd:import namespace="397c72bb-9465-480a-8249-83b74d8cc0bc"/>
    <xsd:import namespace="ddac656d-8866-477c-ae40-dace4ddc01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c72bb-9465-480a-8249-83b74d8cc0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ac656d-8866-477c-ae40-dace4ddc01e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A32C86-502E-4CD0-9360-95D48653084B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397c72bb-9465-480a-8249-83b74d8cc0bc"/>
    <ds:schemaRef ds:uri="http://schemas.openxmlformats.org/package/2006/metadata/core-properties"/>
    <ds:schemaRef ds:uri="ddac656d-8866-477c-ae40-dace4ddc01ed"/>
    <ds:schemaRef ds:uri="http://purl.org/dc/dcmitype/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8599BDA-55E7-41AA-BAAE-8666E9B2A6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0ECAA3-7C05-414C-8F21-007C504FFF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7c72bb-9465-480a-8249-83b74d8cc0bc"/>
    <ds:schemaRef ds:uri="ddac656d-8866-477c-ae40-dace4ddc01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 Prance</dc:creator>
  <cp:lastModifiedBy>Zane Prance</cp:lastModifiedBy>
  <dcterms:created xsi:type="dcterms:W3CDTF">2026-03-09T22:06:51Z</dcterms:created>
  <dcterms:modified xsi:type="dcterms:W3CDTF">2026-03-15T18:21:06Z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0x0101008BF2896C5AB86043AAB4169CE3E56178</vt:lpwstr>
  </property>
</Properties>
</file>